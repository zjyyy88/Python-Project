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bb-LPSCI\"/>
    </mc:Choice>
  </mc:AlternateContent>
  <xr:revisionPtr revIDLastSave="0" documentId="13_ncr:1_{CCB7AD4A-82A0-4FFB-94CE-DBF462A69FB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attice" sheetId="1" r:id="rId1"/>
    <sheet name="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" i="2" l="1"/>
  <c r="E9" i="1"/>
  <c r="E8" i="1"/>
  <c r="F5" i="1"/>
  <c r="E5" i="1"/>
  <c r="F4" i="1"/>
  <c r="E4" i="1"/>
</calcChain>
</file>

<file path=xl/sharedStrings.xml><?xml version="1.0" encoding="utf-8"?>
<sst xmlns="http://schemas.openxmlformats.org/spreadsheetml/2006/main" count="81" uniqueCount="61">
  <si>
    <r>
      <t>Li</t>
    </r>
    <r>
      <rPr>
        <vertAlign val="subscript"/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scheme val="minor"/>
      </rPr>
      <t>PS</t>
    </r>
    <r>
      <rPr>
        <vertAlign val="subscript"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Cl</t>
    </r>
    <phoneticPr fontId="1" type="noConversion"/>
  </si>
  <si>
    <r>
      <t>Li</t>
    </r>
    <r>
      <rPr>
        <vertAlign val="subscript"/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scheme val="minor"/>
      </rPr>
      <t>PS</t>
    </r>
    <r>
      <rPr>
        <vertAlign val="subscript"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Cl-exp</t>
    </r>
    <phoneticPr fontId="1" type="noConversion"/>
  </si>
  <si>
    <r>
      <t>Li</t>
    </r>
    <r>
      <rPr>
        <vertAlign val="subscript"/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scheme val="minor"/>
      </rPr>
      <t>PS</t>
    </r>
    <r>
      <rPr>
        <vertAlign val="subscript"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Cl-calc</t>
    </r>
    <phoneticPr fontId="1" type="noConversion"/>
  </si>
  <si>
    <t>a (Å)</t>
    <phoneticPr fontId="1" type="noConversion"/>
  </si>
  <si>
    <t>b (Å)</t>
    <phoneticPr fontId="1" type="noConversion"/>
  </si>
  <si>
    <t>c (Å)</t>
    <phoneticPr fontId="1" type="noConversion"/>
  </si>
  <si>
    <t>α (°)</t>
    <phoneticPr fontId="1" type="noConversion"/>
  </si>
  <si>
    <t>β (°)</t>
    <phoneticPr fontId="1" type="noConversion"/>
  </si>
  <si>
    <t>γ (°)</t>
    <phoneticPr fontId="1" type="noConversion"/>
  </si>
  <si>
    <r>
      <t>Li</t>
    </r>
    <r>
      <rPr>
        <vertAlign val="subscript"/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scheme val="minor"/>
      </rPr>
      <t>PS</t>
    </r>
    <r>
      <rPr>
        <vertAlign val="subscript"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Cl</t>
    </r>
    <r>
      <rPr>
        <vertAlign val="subscript"/>
        <sz val="11"/>
        <color theme="1"/>
        <rFont val="等线"/>
        <family val="3"/>
        <charset val="134"/>
        <scheme val="minor"/>
      </rPr>
      <t>0.875</t>
    </r>
    <r>
      <rPr>
        <sz val="11"/>
        <color theme="1"/>
        <rFont val="等线"/>
        <family val="2"/>
        <scheme val="minor"/>
      </rPr>
      <t>I</t>
    </r>
    <r>
      <rPr>
        <vertAlign val="subscript"/>
        <sz val="11"/>
        <color theme="1"/>
        <rFont val="等线"/>
        <family val="3"/>
        <charset val="134"/>
        <scheme val="minor"/>
      </rPr>
      <t>0.125</t>
    </r>
    <phoneticPr fontId="1" type="noConversion"/>
  </si>
  <si>
    <t>supercell</t>
    <phoneticPr fontId="1" type="noConversion"/>
  </si>
  <si>
    <t>CldopingI</t>
    <phoneticPr fontId="1" type="noConversion"/>
  </si>
  <si>
    <t>Iatom</t>
  </si>
  <si>
    <t>I1</t>
  </si>
  <si>
    <t>I-mp1525634</t>
  </si>
  <si>
    <t>I8</t>
  </si>
  <si>
    <t>I-mp23153</t>
  </si>
  <si>
    <t>I-mp601148</t>
  </si>
  <si>
    <t>I2</t>
  </si>
  <si>
    <t>I-mp639715</t>
  </si>
  <si>
    <t>I-mp684663</t>
  </si>
  <si>
    <t>Cl2-mp1008394</t>
  </si>
  <si>
    <t>Cl8</t>
  </si>
  <si>
    <t>Cl2-mp22848</t>
  </si>
  <si>
    <t>Cl2-mp570778</t>
  </si>
  <si>
    <t>Cl16</t>
  </si>
  <si>
    <t>Clatom</t>
  </si>
  <si>
    <t>Cl1</t>
  </si>
  <si>
    <t>Li2S-mp1125</t>
  </si>
  <si>
    <t>Li8S4</t>
  </si>
  <si>
    <t>Li2S-mp1153</t>
  </si>
  <si>
    <t>Li2S-mp557142</t>
  </si>
  <si>
    <t>Li4S2</t>
  </si>
  <si>
    <t>Li2S-mp723352</t>
  </si>
  <si>
    <t>Li22S11</t>
  </si>
  <si>
    <t>LiCl-mp1185319</t>
  </si>
  <si>
    <t>Li2Cl2</t>
  </si>
  <si>
    <t>LiCl-mp22905</t>
  </si>
  <si>
    <t>Li4Cl4</t>
  </si>
  <si>
    <t>LiI-mp22899</t>
  </si>
  <si>
    <t>Li4I4</t>
  </si>
  <si>
    <t>LiI-mp568273</t>
  </si>
  <si>
    <t>Li2I2</t>
  </si>
  <si>
    <t>LiI-mp570935</t>
  </si>
  <si>
    <t>P2S5-mp541788</t>
  </si>
  <si>
    <t>P8S20</t>
  </si>
  <si>
    <t>formation energy (eV/atom)</t>
  </si>
  <si>
    <t>7 LiCl+ 4 P2S5 + 20 Li2S + LiI→Li48P8S40Cl7I1</t>
  </si>
  <si>
    <t>文件夹</t>
    <phoneticPr fontId="1" type="noConversion"/>
  </si>
  <si>
    <t>总能量</t>
    <phoneticPr fontId="1" type="noConversion"/>
  </si>
  <si>
    <t>计量比</t>
    <phoneticPr fontId="1" type="noConversion"/>
  </si>
  <si>
    <t>每化学式能量</t>
    <phoneticPr fontId="1" type="noConversion"/>
  </si>
  <si>
    <r>
      <t>Li</t>
    </r>
    <r>
      <rPr>
        <vertAlign val="subscript"/>
        <sz val="11"/>
        <color theme="1"/>
        <rFont val="等线"/>
        <family val="3"/>
        <charset val="134"/>
        <scheme val="minor"/>
      </rPr>
      <t>48</t>
    </r>
    <r>
      <rPr>
        <sz val="11"/>
        <color theme="1"/>
        <rFont val="等线"/>
        <family val="2"/>
        <scheme val="minor"/>
      </rPr>
      <t>P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S</t>
    </r>
    <r>
      <rPr>
        <vertAlign val="subscript"/>
        <sz val="11"/>
        <color theme="1"/>
        <rFont val="等线"/>
        <family val="3"/>
        <charset val="134"/>
        <scheme val="minor"/>
      </rPr>
      <t>40</t>
    </r>
    <r>
      <rPr>
        <sz val="11"/>
        <color theme="1"/>
        <rFont val="等线"/>
        <family val="2"/>
        <scheme val="minor"/>
      </rPr>
      <t>Cl</t>
    </r>
    <r>
      <rPr>
        <vertAlign val="subscript"/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2"/>
        <scheme val="minor"/>
      </rPr>
      <t>I</t>
    </r>
    <r>
      <rPr>
        <vertAlign val="subscript"/>
        <sz val="11"/>
        <color theme="1"/>
        <rFont val="等线"/>
        <family val="3"/>
        <charset val="134"/>
        <scheme val="minor"/>
      </rPr>
      <t>1</t>
    </r>
    <phoneticPr fontId="1" type="noConversion"/>
  </si>
  <si>
    <r>
      <t>Li</t>
    </r>
    <r>
      <rPr>
        <vertAlign val="subscript"/>
        <sz val="11"/>
        <color theme="1"/>
        <rFont val="等线"/>
        <family val="3"/>
        <charset val="134"/>
        <scheme val="minor"/>
      </rPr>
      <t>48</t>
    </r>
    <r>
      <rPr>
        <sz val="11"/>
        <color theme="1"/>
        <rFont val="等线"/>
        <family val="2"/>
        <scheme val="minor"/>
      </rPr>
      <t>P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S</t>
    </r>
    <r>
      <rPr>
        <vertAlign val="subscript"/>
        <sz val="11"/>
        <color theme="1"/>
        <rFont val="等线"/>
        <family val="3"/>
        <charset val="134"/>
        <scheme val="minor"/>
      </rPr>
      <t>40</t>
    </r>
    <r>
      <rPr>
        <sz val="11"/>
        <color theme="1"/>
        <rFont val="等线"/>
        <family val="2"/>
        <scheme val="minor"/>
      </rPr>
      <t>Cl</t>
    </r>
    <r>
      <rPr>
        <vertAlign val="subscript"/>
        <sz val="11"/>
        <color theme="1"/>
        <rFont val="等线"/>
        <family val="3"/>
        <charset val="134"/>
        <scheme val="minor"/>
      </rPr>
      <t>8</t>
    </r>
    <phoneticPr fontId="1" type="noConversion"/>
  </si>
  <si>
    <t>CldopingI</t>
    <phoneticPr fontId="1" type="noConversion"/>
  </si>
  <si>
    <t>Li48P8S40Cl8 - Cl + I → Li48P8S40Cl7I1</t>
    <phoneticPr fontId="1" type="noConversion"/>
  </si>
  <si>
    <t>分子式</t>
    <phoneticPr fontId="1" type="noConversion"/>
  </si>
  <si>
    <t>分子式</t>
    <phoneticPr fontId="1" type="noConversion"/>
  </si>
  <si>
    <r>
      <t>Li</t>
    </r>
    <r>
      <rPr>
        <vertAlign val="subscript"/>
        <sz val="11"/>
        <color theme="1"/>
        <rFont val="等线"/>
        <family val="3"/>
        <charset val="134"/>
        <scheme val="minor"/>
      </rPr>
      <t>24</t>
    </r>
    <r>
      <rPr>
        <sz val="11"/>
        <color theme="1"/>
        <rFont val="等线"/>
        <family val="2"/>
        <scheme val="minor"/>
      </rPr>
      <t>P</t>
    </r>
    <r>
      <rPr>
        <vertAlign val="subscript"/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S</t>
    </r>
    <r>
      <rPr>
        <vertAlign val="subscript"/>
        <sz val="11"/>
        <color theme="1"/>
        <rFont val="等线"/>
        <family val="3"/>
        <charset val="134"/>
        <scheme val="minor"/>
      </rPr>
      <t>20</t>
    </r>
    <r>
      <rPr>
        <sz val="11"/>
        <color theme="1"/>
        <rFont val="等线"/>
        <family val="2"/>
        <scheme val="minor"/>
      </rPr>
      <t>Cl</t>
    </r>
    <r>
      <rPr>
        <vertAlign val="subscript"/>
        <sz val="11"/>
        <color theme="1"/>
        <rFont val="等线"/>
        <family val="3"/>
        <charset val="134"/>
        <scheme val="minor"/>
      </rPr>
      <t>4</t>
    </r>
    <phoneticPr fontId="1" type="noConversion"/>
  </si>
  <si>
    <t>I0125-1</t>
    <phoneticPr fontId="1" type="noConversion"/>
  </si>
  <si>
    <t>I0125-2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</si>
</sst>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0"/>
  <sheetViews>
    <sheetView zoomScale="160" zoomScaleNormal="160" workbookViewId="0">
      <selection activeCell="J19" sqref="J19"/>
    </sheetView>
  </sheetViews>
  <sheetFormatPr defaultRowHeight="14.25" x14ac:dyDescent="0.2"/>
  <cols>
    <col min="2" max="2" width="16.375" customWidth="1"/>
    <col min="3" max="3" width="10.875" customWidth="1"/>
  </cols>
  <sheetData>
    <row r="3" spans="1:9" x14ac:dyDescent="0.2">
      <c r="B3" s="1"/>
      <c r="C3" s="1" t="s">
        <v>56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17.25" x14ac:dyDescent="0.3">
      <c r="B4" t="s">
        <v>1</v>
      </c>
      <c r="D4">
        <v>10.01233</v>
      </c>
      <c r="E4">
        <f>D4</f>
        <v>10.01233</v>
      </c>
      <c r="F4">
        <f>D4</f>
        <v>10.01233</v>
      </c>
      <c r="G4">
        <v>90</v>
      </c>
      <c r="H4">
        <v>90</v>
      </c>
      <c r="I4">
        <v>90</v>
      </c>
    </row>
    <row r="5" spans="1:9" ht="17.25" x14ac:dyDescent="0.3">
      <c r="B5" t="s">
        <v>2</v>
      </c>
      <c r="C5" t="s">
        <v>58</v>
      </c>
      <c r="D5">
        <v>9.8578150000000004</v>
      </c>
      <c r="E5">
        <f>D5</f>
        <v>9.8578150000000004</v>
      </c>
      <c r="F5">
        <f>D5</f>
        <v>9.8578150000000004</v>
      </c>
      <c r="G5">
        <v>90</v>
      </c>
      <c r="H5">
        <v>90</v>
      </c>
      <c r="I5">
        <v>90</v>
      </c>
    </row>
    <row r="7" spans="1:9" x14ac:dyDescent="0.2">
      <c r="B7" s="1"/>
      <c r="C7" s="1" t="s">
        <v>56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ht="17.25" x14ac:dyDescent="0.3">
      <c r="A8" s="2" t="s">
        <v>10</v>
      </c>
      <c r="B8" t="s">
        <v>0</v>
      </c>
      <c r="C8" t="s">
        <v>53</v>
      </c>
      <c r="D8">
        <v>10.01233</v>
      </c>
      <c r="E8">
        <f>D8</f>
        <v>10.01233</v>
      </c>
      <c r="F8">
        <v>20.024650000000001</v>
      </c>
      <c r="G8">
        <v>90</v>
      </c>
      <c r="H8">
        <v>90</v>
      </c>
      <c r="I8">
        <v>90</v>
      </c>
    </row>
    <row r="9" spans="1:9" ht="17.25" x14ac:dyDescent="0.3">
      <c r="A9" s="2"/>
      <c r="B9" t="s">
        <v>9</v>
      </c>
      <c r="C9" t="s">
        <v>52</v>
      </c>
      <c r="D9">
        <v>9.8186099999999996</v>
      </c>
      <c r="E9">
        <f>D9</f>
        <v>9.8186099999999996</v>
      </c>
      <c r="F9">
        <v>19.049389999999999</v>
      </c>
      <c r="G9">
        <v>90</v>
      </c>
      <c r="H9">
        <v>90</v>
      </c>
      <c r="I9">
        <v>90</v>
      </c>
    </row>
    <row r="10" spans="1:9" ht="17.25" x14ac:dyDescent="0.3">
      <c r="A10" t="s">
        <v>11</v>
      </c>
      <c r="B10" t="s">
        <v>0</v>
      </c>
      <c r="C10" t="s">
        <v>53</v>
      </c>
      <c r="D10">
        <v>9.8100299999999994</v>
      </c>
      <c r="E10">
        <v>9.8100299999999994</v>
      </c>
      <c r="F10">
        <v>18.92792</v>
      </c>
      <c r="G10">
        <v>90</v>
      </c>
      <c r="H10">
        <v>90</v>
      </c>
      <c r="I10">
        <v>90</v>
      </c>
    </row>
  </sheetData>
  <mergeCells count="1">
    <mergeCell ref="A8:A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B60D-E41C-4BF4-A430-79D9B65D3070}">
  <dimension ref="A1:F30"/>
  <sheetViews>
    <sheetView tabSelected="1" workbookViewId="0">
      <selection activeCell="I22" sqref="I22"/>
    </sheetView>
  </sheetViews>
  <sheetFormatPr defaultRowHeight="14.25" x14ac:dyDescent="0.2"/>
  <cols>
    <col min="1" max="1" width="16.875" customWidth="1"/>
    <col min="2" max="2" width="17" customWidth="1"/>
    <col min="3" max="3" width="18" customWidth="1"/>
  </cols>
  <sheetData>
    <row r="1" spans="1:6" x14ac:dyDescent="0.2">
      <c r="A1" s="3" t="s">
        <v>48</v>
      </c>
      <c r="B1" s="3" t="s">
        <v>57</v>
      </c>
      <c r="C1" s="3" t="s">
        <v>49</v>
      </c>
      <c r="D1" s="3" t="s">
        <v>50</v>
      </c>
      <c r="E1" s="3"/>
      <c r="F1" s="3" t="s">
        <v>51</v>
      </c>
    </row>
    <row r="2" spans="1:6" x14ac:dyDescent="0.2">
      <c r="A2" s="3" t="s">
        <v>12</v>
      </c>
      <c r="B2" s="3" t="s">
        <v>13</v>
      </c>
      <c r="C2" s="3">
        <v>-0.20510769000000001</v>
      </c>
      <c r="D2" s="3">
        <v>1</v>
      </c>
      <c r="E2" s="3">
        <v>1</v>
      </c>
      <c r="F2" s="3">
        <v>-0.20510700000000001</v>
      </c>
    </row>
    <row r="3" spans="1:6" x14ac:dyDescent="0.2">
      <c r="A3" s="3" t="s">
        <v>14</v>
      </c>
      <c r="B3" s="3" t="s">
        <v>15</v>
      </c>
      <c r="C3" s="3">
        <v>-20.52960981</v>
      </c>
      <c r="D3" s="3">
        <v>8</v>
      </c>
      <c r="E3" s="3">
        <v>8</v>
      </c>
      <c r="F3" s="3">
        <v>-2.566201</v>
      </c>
    </row>
    <row r="4" spans="1:6" x14ac:dyDescent="0.2">
      <c r="A4" s="3" t="s">
        <v>16</v>
      </c>
      <c r="B4" s="3" t="s">
        <v>15</v>
      </c>
      <c r="C4" s="3">
        <v>-20.5285042</v>
      </c>
      <c r="D4" s="3">
        <v>8</v>
      </c>
      <c r="E4" s="3">
        <v>8</v>
      </c>
      <c r="F4" s="3">
        <v>-2.5660630000000002</v>
      </c>
    </row>
    <row r="5" spans="1:6" x14ac:dyDescent="0.2">
      <c r="A5" s="3" t="s">
        <v>17</v>
      </c>
      <c r="B5" s="3" t="s">
        <v>18</v>
      </c>
      <c r="C5" s="3">
        <v>-0.45238703000000002</v>
      </c>
      <c r="D5" s="3">
        <v>2</v>
      </c>
      <c r="E5" s="3">
        <v>2</v>
      </c>
      <c r="F5" s="3">
        <v>-0.22619300000000001</v>
      </c>
    </row>
    <row r="6" spans="1:6" x14ac:dyDescent="0.2">
      <c r="A6" s="3" t="s">
        <v>19</v>
      </c>
      <c r="B6" s="3" t="s">
        <v>18</v>
      </c>
      <c r="C6" s="3">
        <v>-0.59976622000000002</v>
      </c>
      <c r="D6" s="3">
        <v>2</v>
      </c>
      <c r="E6" s="3">
        <v>2</v>
      </c>
      <c r="F6" s="3">
        <v>-0.29988300000000001</v>
      </c>
    </row>
    <row r="7" spans="1:6" x14ac:dyDescent="0.2">
      <c r="A7" s="3" t="s">
        <v>20</v>
      </c>
      <c r="B7" s="3" t="s">
        <v>18</v>
      </c>
      <c r="C7" s="3">
        <v>-0.43872102000000002</v>
      </c>
      <c r="D7" s="3">
        <v>2</v>
      </c>
      <c r="E7" s="3">
        <v>2</v>
      </c>
      <c r="F7" s="3">
        <v>-0.21936</v>
      </c>
    </row>
    <row r="8" spans="1:6" x14ac:dyDescent="0.2">
      <c r="A8" s="3" t="s">
        <v>21</v>
      </c>
      <c r="B8" s="3" t="s">
        <v>22</v>
      </c>
      <c r="C8" s="3">
        <v>-20.634701369999998</v>
      </c>
      <c r="D8" s="3">
        <v>8</v>
      </c>
      <c r="E8" s="3">
        <v>8</v>
      </c>
      <c r="F8" s="3">
        <v>-2.5793370000000002</v>
      </c>
    </row>
    <row r="9" spans="1:6" x14ac:dyDescent="0.2">
      <c r="A9" s="3" t="s">
        <v>23</v>
      </c>
      <c r="B9" s="3" t="s">
        <v>22</v>
      </c>
      <c r="C9" s="3">
        <v>-20.634841980000001</v>
      </c>
      <c r="D9" s="3">
        <v>8</v>
      </c>
      <c r="E9" s="3">
        <v>8</v>
      </c>
      <c r="F9" s="3">
        <v>-2.5793550000000001</v>
      </c>
    </row>
    <row r="10" spans="1:6" x14ac:dyDescent="0.2">
      <c r="A10" s="3" t="s">
        <v>24</v>
      </c>
      <c r="B10" s="3" t="s">
        <v>25</v>
      </c>
      <c r="C10" s="3">
        <v>-31.867761909999999</v>
      </c>
      <c r="D10" s="3">
        <v>16</v>
      </c>
      <c r="E10" s="3">
        <v>16</v>
      </c>
      <c r="F10" s="3">
        <v>-1.991735</v>
      </c>
    </row>
    <row r="11" spans="1:6" x14ac:dyDescent="0.2">
      <c r="A11" s="3" t="s">
        <v>26</v>
      </c>
      <c r="B11" s="3" t="s">
        <v>27</v>
      </c>
      <c r="C11" s="3">
        <v>-0.27537549</v>
      </c>
      <c r="D11" s="3">
        <v>1</v>
      </c>
      <c r="E11" s="3">
        <v>1</v>
      </c>
      <c r="F11" s="3">
        <v>-0.27537499999999998</v>
      </c>
    </row>
    <row r="12" spans="1:6" x14ac:dyDescent="0.2">
      <c r="A12" s="3" t="s">
        <v>28</v>
      </c>
      <c r="B12" s="3" t="s">
        <v>29</v>
      </c>
      <c r="C12" s="3">
        <v>-48.941790150000003</v>
      </c>
      <c r="D12" s="3">
        <v>12</v>
      </c>
      <c r="E12" s="3">
        <v>4</v>
      </c>
      <c r="F12" s="3">
        <v>-12.235447000000001</v>
      </c>
    </row>
    <row r="13" spans="1:6" x14ac:dyDescent="0.2">
      <c r="A13" s="3" t="s">
        <v>30</v>
      </c>
      <c r="B13" s="3" t="s">
        <v>29</v>
      </c>
      <c r="C13" s="3">
        <v>-48.384432779999997</v>
      </c>
      <c r="D13" s="3">
        <v>12</v>
      </c>
      <c r="E13" s="3">
        <v>4</v>
      </c>
      <c r="F13" s="3">
        <v>-12.096107999999999</v>
      </c>
    </row>
    <row r="14" spans="1:6" x14ac:dyDescent="0.2">
      <c r="A14" s="3" t="s">
        <v>31</v>
      </c>
      <c r="B14" s="3" t="s">
        <v>32</v>
      </c>
      <c r="C14" s="3">
        <v>-17.96539954</v>
      </c>
      <c r="D14" s="3">
        <v>6</v>
      </c>
      <c r="E14" s="3">
        <v>2</v>
      </c>
      <c r="F14" s="3">
        <v>-8.9826990000000002</v>
      </c>
    </row>
    <row r="15" spans="1:6" x14ac:dyDescent="0.2">
      <c r="A15" s="3" t="s">
        <v>33</v>
      </c>
      <c r="B15" s="3" t="s">
        <v>34</v>
      </c>
      <c r="C15" s="3">
        <v>-131.3158286</v>
      </c>
      <c r="D15" s="3">
        <v>33</v>
      </c>
      <c r="E15" s="3">
        <v>11</v>
      </c>
      <c r="F15" s="3">
        <v>-11.937802</v>
      </c>
    </row>
    <row r="16" spans="1:6" x14ac:dyDescent="0.2">
      <c r="A16" s="3" t="s">
        <v>35</v>
      </c>
      <c r="B16" s="3" t="s">
        <v>36</v>
      </c>
      <c r="C16" s="3">
        <v>-14.974708639999999</v>
      </c>
      <c r="D16" s="3">
        <v>4</v>
      </c>
      <c r="E16" s="3">
        <v>2</v>
      </c>
      <c r="F16" s="3">
        <v>-7.4873539999999998</v>
      </c>
    </row>
    <row r="17" spans="1:6" x14ac:dyDescent="0.2">
      <c r="A17" s="3" t="s">
        <v>37</v>
      </c>
      <c r="B17" s="3" t="s">
        <v>38</v>
      </c>
      <c r="C17" s="3">
        <v>-31.336455269999998</v>
      </c>
      <c r="D17" s="3">
        <v>8</v>
      </c>
      <c r="E17" s="3">
        <v>4</v>
      </c>
      <c r="F17" s="3">
        <v>-7.8341130000000003</v>
      </c>
    </row>
    <row r="18" spans="1:6" x14ac:dyDescent="0.2">
      <c r="A18" s="3" t="s">
        <v>39</v>
      </c>
      <c r="B18" s="3" t="s">
        <v>40</v>
      </c>
      <c r="C18" s="3">
        <v>-24.611714840000001</v>
      </c>
      <c r="D18" s="3">
        <v>8</v>
      </c>
      <c r="E18" s="3">
        <v>4</v>
      </c>
      <c r="F18" s="3">
        <v>-6.1529280000000002</v>
      </c>
    </row>
    <row r="19" spans="1:6" x14ac:dyDescent="0.2">
      <c r="A19" s="3" t="s">
        <v>41</v>
      </c>
      <c r="B19" s="3" t="s">
        <v>42</v>
      </c>
      <c r="C19" s="3">
        <v>-8.1522403499999996</v>
      </c>
      <c r="D19" s="3">
        <v>4</v>
      </c>
      <c r="E19" s="3">
        <v>2</v>
      </c>
      <c r="F19" s="3">
        <v>-4.0761200000000004</v>
      </c>
    </row>
    <row r="20" spans="1:6" x14ac:dyDescent="0.2">
      <c r="A20" s="3" t="s">
        <v>43</v>
      </c>
      <c r="B20" s="3" t="s">
        <v>42</v>
      </c>
      <c r="C20" s="3">
        <v>-11.90581793</v>
      </c>
      <c r="D20" s="3">
        <v>4</v>
      </c>
      <c r="E20" s="3">
        <v>2</v>
      </c>
      <c r="F20" s="3">
        <v>-5.9529079999999999</v>
      </c>
    </row>
    <row r="21" spans="1:6" x14ac:dyDescent="0.2">
      <c r="A21" s="3" t="s">
        <v>44</v>
      </c>
      <c r="B21" s="3" t="s">
        <v>45</v>
      </c>
      <c r="C21" s="3">
        <v>-141.58149359999999</v>
      </c>
      <c r="D21" s="3">
        <v>28</v>
      </c>
      <c r="E21" s="3">
        <v>4</v>
      </c>
      <c r="F21" s="3">
        <v>-35.395372999999999</v>
      </c>
    </row>
    <row r="22" spans="1:6" x14ac:dyDescent="0.2">
      <c r="A22" s="3"/>
      <c r="B22" s="3"/>
      <c r="C22" s="3"/>
      <c r="D22" s="3"/>
      <c r="E22" s="3"/>
      <c r="F22" s="3"/>
    </row>
    <row r="23" spans="1:6" ht="17.25" x14ac:dyDescent="0.3">
      <c r="A23" s="3" t="s">
        <v>59</v>
      </c>
      <c r="B23" t="s">
        <v>52</v>
      </c>
      <c r="C23" s="3">
        <v>-464.68080730000003</v>
      </c>
      <c r="D23" s="3"/>
      <c r="E23" s="3"/>
      <c r="F23" s="3"/>
    </row>
    <row r="24" spans="1:6" ht="17.25" x14ac:dyDescent="0.3">
      <c r="A24" s="3" t="s">
        <v>60</v>
      </c>
      <c r="B24" t="s">
        <v>52</v>
      </c>
      <c r="C24">
        <v>-464.68099801</v>
      </c>
    </row>
    <row r="25" spans="1:6" ht="17.25" x14ac:dyDescent="0.3">
      <c r="A25" s="3" t="s">
        <v>10</v>
      </c>
      <c r="B25" t="s">
        <v>53</v>
      </c>
      <c r="C25" s="3">
        <v>-457.96960819999998</v>
      </c>
      <c r="D25" s="3"/>
      <c r="E25" s="3"/>
      <c r="F25" s="3"/>
    </row>
    <row r="26" spans="1:6" ht="17.25" x14ac:dyDescent="0.3">
      <c r="A26" s="3" t="s">
        <v>54</v>
      </c>
      <c r="B26" t="s">
        <v>53</v>
      </c>
      <c r="C26" s="3">
        <v>-465.49424457999999</v>
      </c>
      <c r="D26" s="3"/>
      <c r="E26" s="3"/>
      <c r="F26" s="3"/>
    </row>
    <row r="27" spans="1:6" x14ac:dyDescent="0.2">
      <c r="D27" s="3"/>
      <c r="E27" s="3"/>
    </row>
    <row r="28" spans="1:6" x14ac:dyDescent="0.2">
      <c r="F28" s="3" t="s">
        <v>46</v>
      </c>
    </row>
    <row r="29" spans="1:6" x14ac:dyDescent="0.2">
      <c r="A29" s="3" t="s">
        <v>47</v>
      </c>
      <c r="B29" s="3"/>
      <c r="C29" s="3"/>
      <c r="D29" s="3"/>
      <c r="E29" s="3"/>
      <c r="F29" s="3">
        <v>-0.16729477200000001</v>
      </c>
    </row>
    <row r="30" spans="1:6" x14ac:dyDescent="0.2">
      <c r="A30" s="3" t="s">
        <v>55</v>
      </c>
      <c r="B30" s="3"/>
      <c r="C30" s="3"/>
      <c r="D30" s="3"/>
      <c r="E30" s="3"/>
      <c r="F30" s="3">
        <f>(C23-C26-F3+F9)/104</f>
        <v>7.6950315384611495E-3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lattice</vt:lpstr>
      <vt:lpstr>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 Jiaying(21C LAB)</cp:lastModifiedBy>
  <dcterms:created xsi:type="dcterms:W3CDTF">2015-06-05T18:17:20Z</dcterms:created>
  <dcterms:modified xsi:type="dcterms:W3CDTF">2026-04-29T01:02:01Z</dcterms:modified>
</cp:coreProperties>
</file>